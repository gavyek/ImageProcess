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WORKcoding\ImageProcess\Local_Testingbench\(By MK) 251127 FA test sample\Python\ANA\"/>
    </mc:Choice>
  </mc:AlternateContent>
  <xr:revisionPtr revIDLastSave="0" documentId="13_ncr:1_{756A59E0-763A-4CFB-AD5A-B20DD68DF208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_Data" sheetId="1" r:id="rId1"/>
    <sheet name="Cell_Summary" sheetId="2" r:id="rId2"/>
    <sheet name="Matrix_Mean_Int" sheetId="3" r:id="rId3"/>
    <sheet name="Matrix_Area_um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</calcChain>
</file>

<file path=xl/sharedStrings.xml><?xml version="1.0" encoding="utf-8"?>
<sst xmlns="http://schemas.openxmlformats.org/spreadsheetml/2006/main" count="58" uniqueCount="28">
  <si>
    <t>File</t>
  </si>
  <si>
    <t>Cell_ID</t>
  </si>
  <si>
    <t>Category</t>
  </si>
  <si>
    <t>Area_px</t>
  </si>
  <si>
    <t>Area_um2</t>
  </si>
  <si>
    <t>Mean_Intensity_Raw</t>
  </si>
  <si>
    <t>Mean_Intensity_Corr</t>
  </si>
  <si>
    <t>Int_Density_Raw</t>
  </si>
  <si>
    <t>Int_Density_Corr</t>
  </si>
  <si>
    <t>Background_Level</t>
  </si>
  <si>
    <t>Used_Alpha</t>
  </si>
  <si>
    <t>Global_Threshold</t>
  </si>
  <si>
    <t>Min_Area_Setting</t>
  </si>
  <si>
    <t>Max_Area_Setting</t>
  </si>
  <si>
    <t>Close_Radius_Setting</t>
  </si>
  <si>
    <t>Subtract_BG_Setting</t>
  </si>
  <si>
    <t>S01</t>
  </si>
  <si>
    <t>OK</t>
  </si>
  <si>
    <t>S02</t>
  </si>
  <si>
    <t>FA_Count</t>
  </si>
  <si>
    <t>Mean_Area_um2</t>
  </si>
  <si>
    <t>Total_Area_um2</t>
  </si>
  <si>
    <t>Mean_Intensity_Avg</t>
  </si>
  <si>
    <t>UniqueID</t>
  </si>
  <si>
    <t>S01_c2</t>
  </si>
  <si>
    <t>S02_c1</t>
  </si>
  <si>
    <t>S02_c2</t>
  </si>
  <si>
    <t>S02_c5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</si>
</sst>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workbookViewId="0">
      <selection activeCell="G1" sqref="G1:G12"/>
    </sheetView>
  </sheetViews>
  <sheetFormatPr defaultRowHeight="17.399999999999999" x14ac:dyDescent="0.4"/>
  <cols>
    <col min="6" max="7" width="19.69921875" bestFit="1" customWidth="1"/>
    <col min="8" max="8" width="15.89843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t="s">
        <v>16</v>
      </c>
      <c r="B2">
        <v>2</v>
      </c>
      <c r="C2" t="s">
        <v>17</v>
      </c>
      <c r="D2">
        <v>300</v>
      </c>
      <c r="E2">
        <v>3.7631999999999999</v>
      </c>
      <c r="F2">
        <v>15040.183999999999</v>
      </c>
      <c r="G2">
        <v>9415.1929999999993</v>
      </c>
      <c r="H2">
        <v>4512055.078125</v>
      </c>
      <c r="I2">
        <v>2824558.0078125</v>
      </c>
      <c r="J2">
        <v>5624.99</v>
      </c>
      <c r="K2">
        <v>3</v>
      </c>
      <c r="L2">
        <v>12689</v>
      </c>
      <c r="M2">
        <v>1.5</v>
      </c>
      <c r="N2">
        <v>30</v>
      </c>
      <c r="O2">
        <v>1</v>
      </c>
      <c r="P2" t="b">
        <v>1</v>
      </c>
    </row>
    <row r="3" spans="1:16" x14ac:dyDescent="0.4">
      <c r="A3" t="s">
        <v>16</v>
      </c>
      <c r="B3">
        <v>2</v>
      </c>
      <c r="C3" t="s">
        <v>17</v>
      </c>
      <c r="D3">
        <v>122</v>
      </c>
      <c r="E3">
        <v>1.530368</v>
      </c>
      <c r="F3">
        <v>15582.64</v>
      </c>
      <c r="G3">
        <v>9957.6489999999994</v>
      </c>
      <c r="H3">
        <v>1901082.037109375</v>
      </c>
      <c r="I3">
        <v>1214833.228515625</v>
      </c>
      <c r="J3">
        <v>5624.99</v>
      </c>
      <c r="K3">
        <v>3</v>
      </c>
      <c r="L3">
        <v>12689</v>
      </c>
      <c r="M3">
        <v>1.5</v>
      </c>
      <c r="N3">
        <v>30</v>
      </c>
      <c r="O3">
        <v>1</v>
      </c>
      <c r="P3" t="b">
        <v>1</v>
      </c>
    </row>
    <row r="4" spans="1:16" x14ac:dyDescent="0.4">
      <c r="A4" t="s">
        <v>18</v>
      </c>
      <c r="B4">
        <v>1</v>
      </c>
      <c r="C4" t="s">
        <v>17</v>
      </c>
      <c r="D4">
        <v>280</v>
      </c>
      <c r="E4">
        <v>3.5123199999999999</v>
      </c>
      <c r="F4">
        <v>31759.84</v>
      </c>
      <c r="G4">
        <v>25925.84</v>
      </c>
      <c r="H4">
        <v>8892755.15625</v>
      </c>
      <c r="I4">
        <v>7259235.15625</v>
      </c>
      <c r="J4">
        <v>5834</v>
      </c>
      <c r="K4">
        <v>10</v>
      </c>
      <c r="L4">
        <v>25365.07</v>
      </c>
      <c r="M4">
        <v>1.5</v>
      </c>
      <c r="N4">
        <v>30</v>
      </c>
      <c r="O4">
        <v>1</v>
      </c>
      <c r="P4" t="b">
        <v>1</v>
      </c>
    </row>
    <row r="5" spans="1:16" x14ac:dyDescent="0.4">
      <c r="A5" t="s">
        <v>18</v>
      </c>
      <c r="B5">
        <v>1</v>
      </c>
      <c r="C5" t="s">
        <v>17</v>
      </c>
      <c r="D5">
        <v>188</v>
      </c>
      <c r="E5">
        <v>2.3582719999999999</v>
      </c>
      <c r="F5">
        <v>30105.574000000001</v>
      </c>
      <c r="G5">
        <v>24271.574000000001</v>
      </c>
      <c r="H5">
        <v>5659847.953125</v>
      </c>
      <c r="I5">
        <v>4563055.953125</v>
      </c>
      <c r="J5">
        <v>5834</v>
      </c>
      <c r="K5">
        <v>10</v>
      </c>
      <c r="L5">
        <v>25365.07</v>
      </c>
      <c r="M5">
        <v>1.5</v>
      </c>
      <c r="N5">
        <v>30</v>
      </c>
      <c r="O5">
        <v>1</v>
      </c>
      <c r="P5" t="b">
        <v>1</v>
      </c>
    </row>
    <row r="6" spans="1:16" x14ac:dyDescent="0.4">
      <c r="A6" t="s">
        <v>18</v>
      </c>
      <c r="B6">
        <v>1</v>
      </c>
      <c r="C6" t="s">
        <v>17</v>
      </c>
      <c r="D6">
        <v>125</v>
      </c>
      <c r="E6">
        <v>1.5680000000000001</v>
      </c>
      <c r="F6">
        <v>28821.072</v>
      </c>
      <c r="G6">
        <v>22987.072</v>
      </c>
      <c r="H6">
        <v>3602634.033203125</v>
      </c>
      <c r="I6">
        <v>2873384.033203125</v>
      </c>
      <c r="J6">
        <v>5834</v>
      </c>
      <c r="K6">
        <v>10</v>
      </c>
      <c r="L6">
        <v>25365.07</v>
      </c>
      <c r="M6">
        <v>1.5</v>
      </c>
      <c r="N6">
        <v>30</v>
      </c>
      <c r="O6">
        <v>1</v>
      </c>
      <c r="P6" t="b">
        <v>1</v>
      </c>
    </row>
    <row r="7" spans="1:16" x14ac:dyDescent="0.4">
      <c r="A7" t="s">
        <v>18</v>
      </c>
      <c r="B7">
        <v>1</v>
      </c>
      <c r="C7" t="s">
        <v>17</v>
      </c>
      <c r="D7">
        <v>175</v>
      </c>
      <c r="E7">
        <v>2.1951999999999998</v>
      </c>
      <c r="F7">
        <v>31943.52</v>
      </c>
      <c r="G7">
        <v>26109.52</v>
      </c>
      <c r="H7">
        <v>5590115.91796875</v>
      </c>
      <c r="I7">
        <v>4569165.91796875</v>
      </c>
      <c r="J7">
        <v>5834</v>
      </c>
      <c r="K7">
        <v>10</v>
      </c>
      <c r="L7">
        <v>25365.07</v>
      </c>
      <c r="M7">
        <v>1.5</v>
      </c>
      <c r="N7">
        <v>30</v>
      </c>
      <c r="O7">
        <v>1</v>
      </c>
      <c r="P7" t="b">
        <v>1</v>
      </c>
    </row>
    <row r="8" spans="1:16" x14ac:dyDescent="0.4">
      <c r="A8" t="s">
        <v>18</v>
      </c>
      <c r="B8">
        <v>1</v>
      </c>
      <c r="C8" t="s">
        <v>17</v>
      </c>
      <c r="D8">
        <v>193</v>
      </c>
      <c r="E8">
        <v>2.420992</v>
      </c>
      <c r="F8">
        <v>34860.296999999999</v>
      </c>
      <c r="G8">
        <v>29026.296999999999</v>
      </c>
      <c r="H8">
        <v>6728037.296875</v>
      </c>
      <c r="I8">
        <v>5602075.296875</v>
      </c>
      <c r="J8">
        <v>5834</v>
      </c>
      <c r="K8">
        <v>10</v>
      </c>
      <c r="L8">
        <v>25365.07</v>
      </c>
      <c r="M8">
        <v>1.5</v>
      </c>
      <c r="N8">
        <v>30</v>
      </c>
      <c r="O8">
        <v>1</v>
      </c>
      <c r="P8" t="b">
        <v>1</v>
      </c>
    </row>
    <row r="9" spans="1:16" x14ac:dyDescent="0.4">
      <c r="A9" t="s">
        <v>18</v>
      </c>
      <c r="B9">
        <v>2</v>
      </c>
      <c r="C9" t="s">
        <v>17</v>
      </c>
      <c r="D9">
        <v>296</v>
      </c>
      <c r="E9">
        <v>3.7130239999999999</v>
      </c>
      <c r="F9">
        <v>30021.719000000001</v>
      </c>
      <c r="G9">
        <v>24187.719000000001</v>
      </c>
      <c r="H9">
        <v>8886428.75</v>
      </c>
      <c r="I9">
        <v>7159564.75</v>
      </c>
      <c r="J9">
        <v>5834</v>
      </c>
      <c r="K9">
        <v>10</v>
      </c>
      <c r="L9">
        <v>25365.07</v>
      </c>
      <c r="M9">
        <v>1.5</v>
      </c>
      <c r="N9">
        <v>30</v>
      </c>
      <c r="O9">
        <v>1</v>
      </c>
      <c r="P9" t="b">
        <v>1</v>
      </c>
    </row>
    <row r="10" spans="1:16" x14ac:dyDescent="0.4">
      <c r="A10" t="s">
        <v>18</v>
      </c>
      <c r="B10">
        <v>2</v>
      </c>
      <c r="C10" t="s">
        <v>17</v>
      </c>
      <c r="D10">
        <v>285</v>
      </c>
      <c r="E10">
        <v>3.57504</v>
      </c>
      <c r="F10">
        <v>27238.203000000001</v>
      </c>
      <c r="G10">
        <v>21404.203000000001</v>
      </c>
      <c r="H10">
        <v>7762887.890625</v>
      </c>
      <c r="I10">
        <v>6100197.890625</v>
      </c>
      <c r="J10">
        <v>5834</v>
      </c>
      <c r="K10">
        <v>10</v>
      </c>
      <c r="L10">
        <v>25365.07</v>
      </c>
      <c r="M10">
        <v>1.5</v>
      </c>
      <c r="N10">
        <v>30</v>
      </c>
      <c r="O10">
        <v>1</v>
      </c>
      <c r="P10" t="b">
        <v>1</v>
      </c>
    </row>
    <row r="11" spans="1:16" x14ac:dyDescent="0.4">
      <c r="A11" t="s">
        <v>18</v>
      </c>
      <c r="B11">
        <v>2</v>
      </c>
      <c r="C11" t="s">
        <v>17</v>
      </c>
      <c r="D11">
        <v>263</v>
      </c>
      <c r="E11">
        <v>3.2990719999999998</v>
      </c>
      <c r="F11">
        <v>29673.578000000001</v>
      </c>
      <c r="G11">
        <v>23839.578000000001</v>
      </c>
      <c r="H11">
        <v>7804151.046875</v>
      </c>
      <c r="I11">
        <v>6269809.046875</v>
      </c>
      <c r="J11">
        <v>5834</v>
      </c>
      <c r="K11">
        <v>10</v>
      </c>
      <c r="L11">
        <v>25365.07</v>
      </c>
      <c r="M11">
        <v>1.5</v>
      </c>
      <c r="N11">
        <v>30</v>
      </c>
      <c r="O11">
        <v>1</v>
      </c>
      <c r="P11" t="b">
        <v>1</v>
      </c>
    </row>
    <row r="12" spans="1:16" x14ac:dyDescent="0.4">
      <c r="A12" t="s">
        <v>18</v>
      </c>
      <c r="B12">
        <v>5</v>
      </c>
      <c r="C12" t="s">
        <v>17</v>
      </c>
      <c r="D12">
        <v>730</v>
      </c>
      <c r="E12">
        <v>9.1571200000000008</v>
      </c>
      <c r="F12">
        <v>28204.271000000001</v>
      </c>
      <c r="G12">
        <v>22370.271000000001</v>
      </c>
      <c r="H12">
        <v>20589118.18359375</v>
      </c>
      <c r="I12">
        <v>16330298.18359375</v>
      </c>
      <c r="J12">
        <v>5834</v>
      </c>
      <c r="K12">
        <v>10</v>
      </c>
      <c r="L12">
        <v>25365.07</v>
      </c>
      <c r="M12">
        <v>1.5</v>
      </c>
      <c r="N12">
        <v>30</v>
      </c>
      <c r="O12">
        <v>1</v>
      </c>
      <c r="P12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K9" sqref="K9"/>
    </sheetView>
  </sheetViews>
  <sheetFormatPr defaultRowHeight="17.399999999999999" x14ac:dyDescent="0.4"/>
  <sheetData>
    <row r="1" spans="1:6" x14ac:dyDescent="0.4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4">
      <c r="A2" t="s">
        <v>16</v>
      </c>
      <c r="B2">
        <v>2</v>
      </c>
      <c r="C2">
        <v>2</v>
      </c>
      <c r="D2">
        <v>2.6467839999999998</v>
      </c>
      <c r="E2">
        <v>5.2935679999999996</v>
      </c>
      <c r="F2">
        <v>9686.4209999999985</v>
      </c>
    </row>
    <row r="3" spans="1:6" x14ac:dyDescent="0.4">
      <c r="A3" t="s">
        <v>18</v>
      </c>
      <c r="B3">
        <v>1</v>
      </c>
      <c r="C3">
        <v>5</v>
      </c>
      <c r="D3">
        <v>2.4109568000000001</v>
      </c>
      <c r="E3">
        <v>12.054784</v>
      </c>
      <c r="F3">
        <v>25664.060600000001</v>
      </c>
    </row>
    <row r="4" spans="1:6" x14ac:dyDescent="0.4">
      <c r="A4" t="s">
        <v>18</v>
      </c>
      <c r="B4">
        <v>2</v>
      </c>
      <c r="C4">
        <v>3</v>
      </c>
      <c r="D4">
        <v>3.5290453333333338</v>
      </c>
      <c r="E4">
        <v>10.587135999999999</v>
      </c>
      <c r="F4">
        <v>23143.833333333328</v>
      </c>
    </row>
    <row r="5" spans="1:6" x14ac:dyDescent="0.4">
      <c r="A5" t="s">
        <v>18</v>
      </c>
      <c r="B5">
        <v>5</v>
      </c>
      <c r="C5">
        <v>1</v>
      </c>
      <c r="D5">
        <v>9.1571200000000008</v>
      </c>
      <c r="E5">
        <v>9.1571200000000008</v>
      </c>
      <c r="F5">
        <v>22370.271000000001</v>
      </c>
    </row>
    <row r="8" spans="1:6" x14ac:dyDescent="0.4">
      <c r="F8">
        <f>AVERAGE(F2:F5)</f>
        <v>20216.14648333333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7.399999999999999" x14ac:dyDescent="0.4"/>
  <sheetData>
    <row r="1" spans="1:6" x14ac:dyDescent="0.4">
      <c r="A1" s="1" t="s">
        <v>23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4">
      <c r="A2" s="1" t="s">
        <v>24</v>
      </c>
      <c r="B2">
        <v>9415.1929999999993</v>
      </c>
      <c r="C2">
        <v>9957.6489999999994</v>
      </c>
    </row>
    <row r="3" spans="1:6" x14ac:dyDescent="0.4">
      <c r="A3" s="1" t="s">
        <v>25</v>
      </c>
      <c r="B3">
        <v>25925.84</v>
      </c>
      <c r="C3">
        <v>24271.574000000001</v>
      </c>
      <c r="D3">
        <v>22987.072</v>
      </c>
      <c r="E3">
        <v>26109.52</v>
      </c>
      <c r="F3">
        <v>29026.296999999999</v>
      </c>
    </row>
    <row r="4" spans="1:6" x14ac:dyDescent="0.4">
      <c r="A4" s="1" t="s">
        <v>26</v>
      </c>
      <c r="B4">
        <v>24187.719000000001</v>
      </c>
      <c r="C4">
        <v>21404.203000000001</v>
      </c>
      <c r="D4">
        <v>23839.578000000001</v>
      </c>
    </row>
    <row r="5" spans="1:6" x14ac:dyDescent="0.4">
      <c r="A5" s="1" t="s">
        <v>27</v>
      </c>
      <c r="B5">
        <v>22370.271000000001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7.399999999999999" x14ac:dyDescent="0.4"/>
  <sheetData>
    <row r="1" spans="1:6" x14ac:dyDescent="0.4">
      <c r="A1" s="1" t="s">
        <v>23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4">
      <c r="A2" s="1" t="s">
        <v>24</v>
      </c>
      <c r="B2">
        <v>3.7631999999999999</v>
      </c>
      <c r="C2">
        <v>1.530368</v>
      </c>
    </row>
    <row r="3" spans="1:6" x14ac:dyDescent="0.4">
      <c r="A3" s="1" t="s">
        <v>25</v>
      </c>
      <c r="B3">
        <v>3.5123199999999999</v>
      </c>
      <c r="C3">
        <v>2.3582719999999999</v>
      </c>
      <c r="D3">
        <v>1.5680000000000001</v>
      </c>
      <c r="E3">
        <v>2.1951999999999998</v>
      </c>
      <c r="F3">
        <v>2.420992</v>
      </c>
    </row>
    <row r="4" spans="1:6" x14ac:dyDescent="0.4">
      <c r="A4" s="1" t="s">
        <v>26</v>
      </c>
      <c r="B4">
        <v>3.7130239999999999</v>
      </c>
      <c r="C4">
        <v>3.57504</v>
      </c>
      <c r="D4">
        <v>3.2990719999999998</v>
      </c>
    </row>
    <row r="5" spans="1:6" x14ac:dyDescent="0.4">
      <c r="A5" s="1" t="s">
        <v>27</v>
      </c>
      <c r="B5">
        <v>9.1571200000000008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Raw_Data</vt:lpstr>
      <vt:lpstr>Cell_Summary</vt:lpstr>
      <vt:lpstr>Matrix_Mean_Int</vt:lpstr>
      <vt:lpstr>Matrix_Area_um2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Minkyu Kim</cp:lastModifiedBy>
  <dcterms:created xsi:type="dcterms:W3CDTF">2025-11-29T12:11:33Z</dcterms:created>
  <dcterms:modified xsi:type="dcterms:W3CDTF">2025-11-29T12:27:19Z</dcterms:modified>
</cp:coreProperties>
</file>