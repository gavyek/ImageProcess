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HwangLabNAS\HwangLabCommon\ANALYSIS\JW SON\(By MK) 251127 FA test sample\ANA\0XLS\"/>
    </mc:Choice>
  </mc:AlternateContent>
  <xr:revisionPtr revIDLastSave="0" documentId="13_ncr:1_{7CD4F3F7-C730-407F-BF57-A7A564332FCC}" xr6:coauthVersionLast="47" xr6:coauthVersionMax="47" xr10:uidLastSave="{00000000-0000-0000-0000-000000000000}"/>
  <bookViews>
    <workbookView xWindow="-16200" yWindow="0" windowWidth="16200" windowHeight="19155" xr2:uid="{00000000-000D-0000-FFFF-FFFF00000000}"/>
  </bookViews>
  <sheets>
    <sheet name="EXP" sheetId="10" r:id="rId1"/>
    <sheet name="FLE" sheetId="13" r:id="rId2"/>
  </sheets>
  <calcPr calcId="191029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S3" i="13" l="1"/>
  <c r="X3" i="13" s="1"/>
  <c r="S4" i="13"/>
  <c r="X4" i="13" s="1"/>
  <c r="S5" i="13"/>
  <c r="X5" i="13" s="1"/>
  <c r="S2" i="13"/>
  <c r="U3" i="13"/>
  <c r="V3" i="13"/>
  <c r="W3" i="13"/>
  <c r="U4" i="13"/>
  <c r="V4" i="13"/>
  <c r="W4" i="13"/>
  <c r="U5" i="13"/>
  <c r="V5" i="13"/>
  <c r="W5" i="13"/>
  <c r="P3" i="13"/>
  <c r="Q3" i="13"/>
  <c r="R3" i="13"/>
  <c r="P4" i="13"/>
  <c r="Q4" i="13"/>
  <c r="R4" i="13"/>
  <c r="P5" i="13"/>
  <c r="Q5" i="13"/>
  <c r="R5" i="13"/>
  <c r="R2" i="13"/>
  <c r="Q2" i="13"/>
  <c r="P2" i="13"/>
  <c r="G4" i="13"/>
  <c r="H4" i="13"/>
  <c r="I4" i="13"/>
  <c r="J4" i="13"/>
  <c r="G5" i="13"/>
  <c r="H5" i="13"/>
  <c r="I5" i="13"/>
  <c r="J5" i="13"/>
  <c r="C4" i="13"/>
  <c r="C5" i="13"/>
  <c r="J3" i="13"/>
  <c r="I3" i="13"/>
  <c r="H3" i="13"/>
  <c r="C3" i="13"/>
  <c r="G3" i="13" s="1"/>
  <c r="J2" i="13"/>
  <c r="I2" i="13"/>
  <c r="H2" i="13"/>
  <c r="C2" i="13"/>
  <c r="G2" i="13" s="1"/>
  <c r="X2" i="13" l="1"/>
  <c r="W2" i="13"/>
  <c r="V2" i="13"/>
  <c r="L2" i="13"/>
  <c r="M2" i="13"/>
  <c r="N2" i="13"/>
  <c r="L3" i="13"/>
  <c r="M3" i="13"/>
  <c r="N3" i="13"/>
  <c r="L3" i="10"/>
  <c r="L2" i="10"/>
  <c r="B3" i="10" l="1"/>
  <c r="B2" i="10"/>
  <c r="U2" i="13" l="1"/>
</calcChain>
</file>

<file path=xl/sharedStrings.xml><?xml version="1.0" encoding="utf-8"?>
<sst xmlns="http://schemas.openxmlformats.org/spreadsheetml/2006/main" count="118" uniqueCount="100">
  <si>
    <t>IDX</t>
    <phoneticPr fontId="5" type="noConversion"/>
  </si>
  <si>
    <t>Ep</t>
    <phoneticPr fontId="5" type="noConversion"/>
  </si>
  <si>
    <t>Ep</t>
    <phoneticPr fontId="6" type="noConversion"/>
  </si>
  <si>
    <t>Exp</t>
    <phoneticPr fontId="5" type="noConversion"/>
  </si>
  <si>
    <t>ESP</t>
    <phoneticPr fontId="5" type="noConversion"/>
  </si>
  <si>
    <t>DAPI</t>
    <phoneticPr fontId="5" type="noConversion"/>
  </si>
  <si>
    <t>EP</t>
    <phoneticPr fontId="5" type="noConversion"/>
  </si>
  <si>
    <t>SP</t>
    <phoneticPr fontId="5" type="noConversion"/>
  </si>
  <si>
    <t>dirIM</t>
    <phoneticPr fontId="5" type="noConversion"/>
  </si>
  <si>
    <t>EXL</t>
    <phoneticPr fontId="5" type="noConversion"/>
  </si>
  <si>
    <t>FL_B</t>
  </si>
  <si>
    <t>nSp</t>
  </si>
  <si>
    <t>EX</t>
  </si>
  <si>
    <t>Microscopy</t>
  </si>
  <si>
    <t>Obj mag</t>
  </si>
  <si>
    <t>Obj NA</t>
  </si>
  <si>
    <t>Obj pxsz</t>
  </si>
  <si>
    <t>[H W]</t>
  </si>
  <si>
    <t>[Hum Wum]</t>
  </si>
  <si>
    <t>Bit Depth</t>
  </si>
  <si>
    <t>Exp</t>
    <phoneticPr fontId="5" type="noConversion"/>
  </si>
  <si>
    <t>FL_G</t>
    <phoneticPr fontId="5" type="noConversion"/>
  </si>
  <si>
    <t>F-actin</t>
    <phoneticPr fontId="5" type="noConversion"/>
  </si>
  <si>
    <t>fnmG</t>
    <phoneticPr fontId="5" type="noConversion"/>
  </si>
  <si>
    <t>Microscopy</t>
    <phoneticPr fontId="5" type="noConversion"/>
  </si>
  <si>
    <t>Obj WD</t>
    <phoneticPr fontId="5" type="noConversion"/>
  </si>
  <si>
    <t>um/px</t>
  </si>
  <si>
    <t>FL_M</t>
    <phoneticPr fontId="5" type="noConversion"/>
  </si>
  <si>
    <t>Treatment</t>
    <phoneticPr fontId="5" type="noConversion"/>
  </si>
  <si>
    <t>16 bit</t>
    <phoneticPr fontId="5" type="noConversion"/>
  </si>
  <si>
    <t>0.6mm</t>
    <phoneticPr fontId="5" type="noConversion"/>
  </si>
  <si>
    <t>Cell seeding</t>
    <phoneticPr fontId="5" type="noConversion"/>
  </si>
  <si>
    <t>SH</t>
    <phoneticPr fontId="5" type="noConversion"/>
  </si>
  <si>
    <t>fnmB</t>
    <phoneticPr fontId="5" type="noConversion"/>
  </si>
  <si>
    <t>fnmR</t>
    <phoneticPr fontId="5" type="noConversion"/>
  </si>
  <si>
    <t>S01</t>
    <phoneticPr fontId="5" type="noConversion"/>
  </si>
  <si>
    <t>S02</t>
  </si>
  <si>
    <t>S03</t>
  </si>
  <si>
    <t>C2C12 cell</t>
    <phoneticPr fontId="5" type="noConversion"/>
  </si>
  <si>
    <t>pxsz {um/px}</t>
    <phoneticPr fontId="5" type="noConversion"/>
  </si>
  <si>
    <t>Cell</t>
    <phoneticPr fontId="5" type="noConversion"/>
  </si>
  <si>
    <t>Animal</t>
    <phoneticPr fontId="5" type="noConversion"/>
  </si>
  <si>
    <t>treat TCEP</t>
    <phoneticPr fontId="5" type="noConversion"/>
  </si>
  <si>
    <t>Control &amp; 1mM TCEP</t>
    <phoneticPr fontId="5" type="noConversion"/>
  </si>
  <si>
    <t>mice immotalize</t>
    <phoneticPr fontId="5" type="noConversion"/>
  </si>
  <si>
    <t>Stain</t>
    <phoneticPr fontId="5" type="noConversion"/>
  </si>
  <si>
    <t>1Ab</t>
    <phoneticPr fontId="5" type="noConversion"/>
  </si>
  <si>
    <t>2Ab</t>
    <phoneticPr fontId="5" type="noConversion"/>
  </si>
  <si>
    <t>blocking sol</t>
    <phoneticPr fontId="6" type="noConversion"/>
  </si>
  <si>
    <t>3% BSA + 0.1% triton-X 100</t>
    <phoneticPr fontId="6" type="noConversion"/>
  </si>
  <si>
    <t>1Ab</t>
    <phoneticPr fontId="6" type="noConversion"/>
  </si>
  <si>
    <t>in blocking sol</t>
    <phoneticPr fontId="6" type="noConversion"/>
  </si>
  <si>
    <t>2Ab</t>
    <phoneticPr fontId="6" type="noConversion"/>
  </si>
  <si>
    <t>Vinculin Abcam CAT# ab129002</t>
    <phoneticPr fontId="5" type="noConversion"/>
  </si>
  <si>
    <t>Rabbit 488 invitrogen CAT# A11008 (496/519)</t>
    <phoneticPr fontId="5" type="noConversion"/>
  </si>
  <si>
    <t>Vinculin 1:1000</t>
    <phoneticPr fontId="5" type="noConversion"/>
  </si>
  <si>
    <t>Rb488 1:1000</t>
    <phoneticPr fontId="5" type="noConversion"/>
  </si>
  <si>
    <t>Blue</t>
    <phoneticPr fontId="5" type="noConversion"/>
  </si>
  <si>
    <t>hoechst  invitrogen CAT# H21492 (350/461)</t>
    <phoneticPr fontId="5" type="noConversion"/>
  </si>
  <si>
    <t>hoechst 1:1000</t>
    <phoneticPr fontId="5" type="noConversion"/>
  </si>
  <si>
    <t>Far-red (but convert to Magenta in EVOS)</t>
    <phoneticPr fontId="5" type="noConversion"/>
  </si>
  <si>
    <t>F-actin 647 invitrogen CAT# A22287 (500/700)</t>
    <phoneticPr fontId="5" type="noConversion"/>
  </si>
  <si>
    <t>F-actin 647 1:1000</t>
    <phoneticPr fontId="5" type="noConversion"/>
  </si>
  <si>
    <t>Image</t>
    <phoneticPr fontId="5" type="noConversion"/>
  </si>
  <si>
    <t>scalebar</t>
    <phoneticPr fontId="5" type="noConversion"/>
  </si>
  <si>
    <t>crop [Hum Wum]</t>
    <phoneticPr fontId="5" type="noConversion"/>
  </si>
  <si>
    <t>crop scalebar</t>
    <phoneticPr fontId="5" type="noConversion"/>
  </si>
  <si>
    <t>50 um</t>
    <phoneticPr fontId="5" type="noConversion"/>
  </si>
  <si>
    <t>EXP Note</t>
    <phoneticPr fontId="5" type="noConversion"/>
  </si>
  <si>
    <t>file name</t>
    <phoneticPr fontId="5" type="noConversion"/>
  </si>
  <si>
    <t>S**_1</t>
    <phoneticPr fontId="5" type="noConversion"/>
  </si>
  <si>
    <t>hoechst</t>
    <phoneticPr fontId="5" type="noConversion"/>
  </si>
  <si>
    <t>S**_2</t>
    <phoneticPr fontId="5" type="noConversion"/>
  </si>
  <si>
    <t>S**_0</t>
    <phoneticPr fontId="5" type="noConversion"/>
  </si>
  <si>
    <t>p-FAK</t>
    <phoneticPr fontId="5" type="noConversion"/>
  </si>
  <si>
    <t>F-actin 647</t>
    <phoneticPr fontId="5" type="noConversion"/>
  </si>
  <si>
    <t>Vinculin</t>
    <phoneticPr fontId="5" type="noConversion"/>
  </si>
  <si>
    <t>20k/cm2</t>
    <phoneticPr fontId="5" type="noConversion"/>
  </si>
  <si>
    <t>too high density (need decrease density to 10k/cm2)</t>
    <phoneticPr fontId="5" type="noConversion"/>
  </si>
  <si>
    <t>Green (e3, 4)</t>
    <phoneticPr fontId="5" type="noConversion"/>
  </si>
  <si>
    <t>Green (e1, 2)</t>
    <phoneticPr fontId="5" type="noConversion"/>
  </si>
  <si>
    <t xml:space="preserve">p-FAK </t>
    <phoneticPr fontId="5" type="noConversion"/>
  </si>
  <si>
    <t>FL_R</t>
    <phoneticPr fontId="5" type="noConversion"/>
  </si>
  <si>
    <t>p0</t>
    <phoneticPr fontId="5" type="noConversion"/>
  </si>
  <si>
    <t>p1</t>
    <phoneticPr fontId="5" type="noConversion"/>
  </si>
  <si>
    <t>_0</t>
    <phoneticPr fontId="5" type="noConversion"/>
  </si>
  <si>
    <t>pFAK</t>
    <phoneticPr fontId="5" type="noConversion"/>
  </si>
  <si>
    <t>_1</t>
    <phoneticPr fontId="5" type="noConversion"/>
  </si>
  <si>
    <t>lmna</t>
    <phoneticPr fontId="5" type="noConversion"/>
  </si>
  <si>
    <t>_2</t>
    <phoneticPr fontId="5" type="noConversion"/>
  </si>
  <si>
    <t>_3</t>
    <phoneticPr fontId="5" type="noConversion"/>
  </si>
  <si>
    <t>P0</t>
    <phoneticPr fontId="5" type="noConversion"/>
  </si>
  <si>
    <t>P1</t>
    <phoneticPr fontId="5" type="noConversion"/>
  </si>
  <si>
    <t>100 um</t>
    <phoneticPr fontId="5" type="noConversion"/>
  </si>
  <si>
    <t>[200 200] um</t>
    <phoneticPr fontId="5" type="noConversion"/>
  </si>
  <si>
    <t>Thunder</t>
    <phoneticPr fontId="5" type="noConversion"/>
  </si>
  <si>
    <t>[2200 3200] px</t>
    <phoneticPr fontId="5" type="noConversion"/>
  </si>
  <si>
    <t>[0.112 0.112]</t>
    <phoneticPr fontId="5" type="noConversion"/>
  </si>
  <si>
    <t>[245.19 356.69]</t>
    <phoneticPr fontId="5" type="noConversion"/>
  </si>
  <si>
    <t>40x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</si>
</sst>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theme="1"/>
      <name val="맑은 고딕"/>
      <family val="2"/>
    </font>
    <font>
      <sz val="11"/>
      <color theme="1"/>
      <name val="맑은 고딕"/>
      <family val="2"/>
      <scheme val="minor"/>
    </font>
    <font>
      <sz val="10"/>
      <name val="맑은 고딕"/>
      <family val="3"/>
      <charset val="129"/>
    </font>
    <font>
      <u/>
      <sz val="10"/>
      <color theme="10"/>
      <name val="맑은 고딕"/>
      <family val="2"/>
    </font>
    <font>
      <u/>
      <sz val="10"/>
      <color theme="11"/>
      <name val="맑은 고딕"/>
      <family val="2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</font>
    <font>
      <sz val="10"/>
      <name val="맑은 고딕"/>
      <family val="2"/>
    </font>
    <font>
      <b/>
      <sz val="10"/>
      <color theme="1"/>
      <name val="맑은 고딕"/>
      <family val="2"/>
    </font>
    <font>
      <b/>
      <sz val="10"/>
      <name val="맑은 고딕"/>
      <family val="3"/>
      <charset val="129"/>
    </font>
    <font>
      <sz val="10"/>
      <name val="맑은 고딕"/>
      <family val="3"/>
      <charset val="129"/>
      <scheme val="major"/>
    </font>
    <font>
      <strike/>
      <sz val="10"/>
      <color theme="1"/>
      <name val="맑은 고딕"/>
      <family val="3"/>
      <charset val="129"/>
      <scheme val="major"/>
    </font>
    <font>
      <strike/>
      <sz val="10"/>
      <name val="맑은 고딕"/>
      <family val="3"/>
      <charset val="129"/>
    </font>
    <font>
      <strike/>
      <sz val="10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32">
    <xf numFmtId="0" fontId="0" fillId="0" borderId="0" xfId="0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left"/>
    </xf>
    <xf numFmtId="0" fontId="12" fillId="0" borderId="0" xfId="0" applyFont="1"/>
    <xf numFmtId="0" fontId="13" fillId="0" borderId="0" xfId="0" quotePrefix="1" applyFont="1"/>
    <xf numFmtId="0" fontId="2" fillId="0" borderId="0" xfId="0" applyFont="1"/>
    <xf numFmtId="0" fontId="2" fillId="0" borderId="0" xfId="0" applyFont="1" applyAlignment="1">
      <alignment horizontal="left"/>
    </xf>
    <xf numFmtId="0" fontId="14" fillId="0" borderId="0" xfId="0" applyFont="1"/>
    <xf numFmtId="0" fontId="0" fillId="0" borderId="0" xfId="0" applyAlignment="1">
      <alignment horizontal="left"/>
    </xf>
    <xf numFmtId="0" fontId="1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6" fillId="0" borderId="0" xfId="0" applyFont="1"/>
    <xf numFmtId="0" fontId="17" fillId="0" borderId="0" xfId="0" applyFont="1" applyAlignment="1">
      <alignment horizontal="center"/>
    </xf>
    <xf numFmtId="0" fontId="17" fillId="0" borderId="0" xfId="0" applyFont="1"/>
    <xf numFmtId="0" fontId="18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20" fillId="0" borderId="0" xfId="0" applyFont="1"/>
    <xf numFmtId="0" fontId="19" fillId="0" borderId="0" xfId="0" applyFont="1"/>
    <xf numFmtId="0" fontId="20" fillId="0" borderId="0" xfId="0" applyFont="1" applyAlignment="1">
      <alignment horizontal="center"/>
    </xf>
    <xf numFmtId="49" fontId="20" fillId="0" borderId="0" xfId="0" applyNumberFormat="1" applyFont="1"/>
    <xf numFmtId="0" fontId="21" fillId="0" borderId="0" xfId="0" applyFont="1"/>
  </cellXfs>
  <cellStyles count="10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Normal" xfId="0" builtinId="0"/>
    <cellStyle name="Normal 2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9"/>
  <sheetViews>
    <sheetView tabSelected="1" zoomScaleNormal="100" workbookViewId="0">
      <selection activeCell="I12" sqref="I12"/>
    </sheetView>
  </sheetViews>
  <sheetFormatPr defaultColWidth="8.88671875" defaultRowHeight="15.6" x14ac:dyDescent="0.35"/>
  <cols>
    <col min="1" max="2" width="3.5546875" style="3" bestFit="1" customWidth="1"/>
    <col min="3" max="3" width="4.6640625" style="3" bestFit="1" customWidth="1"/>
    <col min="4" max="4" width="4.6640625" style="3" customWidth="1"/>
    <col min="5" max="5" width="12.6640625" style="3" bestFit="1" customWidth="1"/>
    <col min="6" max="6" width="7" style="3" bestFit="1" customWidth="1"/>
    <col min="7" max="7" width="8.33203125" style="3" bestFit="1" customWidth="1"/>
    <col min="8" max="8" width="5.6640625" style="3" bestFit="1" customWidth="1"/>
    <col min="9" max="9" width="7.33203125" style="3" bestFit="1" customWidth="1"/>
    <col min="10" max="10" width="7.33203125" style="3" customWidth="1"/>
    <col min="11" max="11" width="7.33203125" style="3" bestFit="1" customWidth="1"/>
    <col min="12" max="12" width="8.33203125" style="3" bestFit="1" customWidth="1"/>
    <col min="13" max="13" width="3" style="3" customWidth="1"/>
    <col min="14" max="14" width="13.6640625" style="3" bestFit="1" customWidth="1"/>
    <col min="15" max="15" width="20.109375" style="3" bestFit="1" customWidth="1"/>
    <col min="16" max="16" width="45.109375" style="3" bestFit="1" customWidth="1"/>
    <col min="17" max="17" width="43.6640625" style="3" bestFit="1" customWidth="1"/>
    <col min="18" max="18" width="11.88671875" style="3" bestFit="1" customWidth="1"/>
    <col min="19" max="16384" width="8.88671875" style="3"/>
  </cols>
  <sheetData>
    <row r="1" spans="1:17" s="1" customFormat="1" x14ac:dyDescent="0.35">
      <c r="A1" s="1" t="s">
        <v>1</v>
      </c>
      <c r="B1" s="2" t="s">
        <v>2</v>
      </c>
      <c r="C1" s="2" t="s">
        <v>11</v>
      </c>
      <c r="D1" s="2"/>
      <c r="E1" s="2" t="s">
        <v>28</v>
      </c>
      <c r="F1" s="1" t="s">
        <v>82</v>
      </c>
      <c r="G1" s="1" t="s">
        <v>21</v>
      </c>
      <c r="H1" s="1" t="s">
        <v>10</v>
      </c>
      <c r="I1" s="1" t="s">
        <v>27</v>
      </c>
      <c r="K1" s="1" t="s">
        <v>20</v>
      </c>
      <c r="L1" s="1" t="s">
        <v>3</v>
      </c>
      <c r="N1" s="7" t="s">
        <v>24</v>
      </c>
      <c r="O1" s="8"/>
    </row>
    <row r="2" spans="1:17" x14ac:dyDescent="0.35">
      <c r="A2" s="3">
        <v>1</v>
      </c>
      <c r="B2" s="4" t="str">
        <f>CONCATENATE("e",A2)</f>
        <v>e1</v>
      </c>
      <c r="C2" s="4">
        <v>2</v>
      </c>
      <c r="D2" s="4"/>
      <c r="E2" s="4" t="s">
        <v>83</v>
      </c>
      <c r="F2" s="4" t="s">
        <v>88</v>
      </c>
      <c r="G2" s="3" t="s">
        <v>86</v>
      </c>
      <c r="H2" s="3" t="s">
        <v>5</v>
      </c>
      <c r="I2" s="5" t="s">
        <v>22</v>
      </c>
      <c r="J2" s="5"/>
      <c r="K2" s="5" t="s">
        <v>91</v>
      </c>
      <c r="L2" s="5" t="str">
        <f>CONCATENATE("'",K2,"'")</f>
        <v>'P0'</v>
      </c>
      <c r="N2" s="9" t="s">
        <v>13</v>
      </c>
      <c r="O2" s="9" t="s">
        <v>95</v>
      </c>
      <c r="P2" s="9"/>
    </row>
    <row r="3" spans="1:17" x14ac:dyDescent="0.35">
      <c r="A3" s="3">
        <v>2</v>
      </c>
      <c r="B3" s="4" t="str">
        <f t="shared" ref="B3:B5" si="0">CONCATENATE("e",A3)</f>
        <v>e2</v>
      </c>
      <c r="C3" s="4">
        <v>2</v>
      </c>
      <c r="D3" s="4"/>
      <c r="E3" s="4" t="s">
        <v>84</v>
      </c>
      <c r="F3" s="4" t="s">
        <v>89</v>
      </c>
      <c r="G3" s="3" t="s">
        <v>87</v>
      </c>
      <c r="H3" s="3" t="s">
        <v>85</v>
      </c>
      <c r="I3" s="5" t="s">
        <v>90</v>
      </c>
      <c r="J3" s="5"/>
      <c r="K3" s="5" t="s">
        <v>92</v>
      </c>
      <c r="L3" s="5" t="str">
        <f t="shared" ref="L3:L5" si="1">CONCATENATE("'",K3,"'")</f>
        <v>'P1'</v>
      </c>
      <c r="N3" s="10" t="s">
        <v>14</v>
      </c>
      <c r="O3" s="11" t="s">
        <v>99</v>
      </c>
      <c r="P3" s="11"/>
    </row>
    <row r="4" spans="1:17" x14ac:dyDescent="0.35">
      <c r="B4" s="4"/>
      <c r="C4" s="4"/>
      <c r="D4" s="4"/>
      <c r="E4" s="4"/>
      <c r="F4" s="4"/>
      <c r="G4" s="5"/>
      <c r="I4" s="5"/>
      <c r="J4" s="5"/>
      <c r="K4" s="5"/>
      <c r="L4" s="5"/>
      <c r="N4" s="10" t="s">
        <v>15</v>
      </c>
      <c r="O4" s="25">
        <v>0.8</v>
      </c>
      <c r="P4" s="12"/>
    </row>
    <row r="5" spans="1:17" x14ac:dyDescent="0.35">
      <c r="B5" s="4"/>
      <c r="C5" s="4"/>
      <c r="D5" s="4"/>
      <c r="E5" s="4"/>
      <c r="F5" s="4"/>
      <c r="G5" s="5"/>
      <c r="I5" s="5"/>
      <c r="J5" s="5"/>
      <c r="K5" s="5"/>
      <c r="L5" s="5"/>
      <c r="N5" s="3" t="s">
        <v>25</v>
      </c>
      <c r="O5" s="25" t="s">
        <v>30</v>
      </c>
      <c r="P5" s="13"/>
    </row>
    <row r="6" spans="1:17" x14ac:dyDescent="0.35">
      <c r="B6" s="4"/>
      <c r="C6" s="4"/>
      <c r="D6" s="4"/>
      <c r="E6" s="4"/>
      <c r="F6" s="4"/>
      <c r="G6" s="5"/>
      <c r="L6" s="5"/>
      <c r="N6" s="9" t="s">
        <v>16</v>
      </c>
      <c r="O6" s="26">
        <v>0.252</v>
      </c>
      <c r="P6" s="11" t="s">
        <v>26</v>
      </c>
    </row>
    <row r="7" spans="1:17" x14ac:dyDescent="0.35">
      <c r="B7" s="4"/>
      <c r="C7" s="4"/>
      <c r="D7" s="4"/>
      <c r="E7" s="4"/>
      <c r="F7" s="4"/>
      <c r="G7" s="5"/>
      <c r="L7" s="5"/>
      <c r="N7" s="10" t="s">
        <v>19</v>
      </c>
      <c r="O7" s="11" t="s">
        <v>29</v>
      </c>
      <c r="P7" s="13"/>
    </row>
    <row r="8" spans="1:17" x14ac:dyDescent="0.35">
      <c r="B8" s="4"/>
      <c r="C8" s="4"/>
      <c r="D8" s="4"/>
      <c r="E8" s="4"/>
      <c r="F8" s="4"/>
      <c r="G8" s="5"/>
      <c r="L8" s="5"/>
      <c r="N8" s="10" t="s">
        <v>17</v>
      </c>
      <c r="O8" s="13" t="s">
        <v>96</v>
      </c>
      <c r="P8" s="13"/>
    </row>
    <row r="9" spans="1:17" x14ac:dyDescent="0.35">
      <c r="B9" s="4"/>
      <c r="C9" s="4"/>
      <c r="D9" s="4"/>
      <c r="E9" s="4"/>
      <c r="F9" s="4"/>
      <c r="G9" s="5"/>
      <c r="L9" s="5"/>
      <c r="N9" s="10" t="s">
        <v>18</v>
      </c>
      <c r="O9" s="13" t="s">
        <v>98</v>
      </c>
    </row>
    <row r="10" spans="1:17" x14ac:dyDescent="0.35">
      <c r="N10" s="16" t="s">
        <v>39</v>
      </c>
      <c r="O10" s="14" t="s">
        <v>97</v>
      </c>
    </row>
    <row r="11" spans="1:17" x14ac:dyDescent="0.35">
      <c r="N11" s="6"/>
    </row>
    <row r="12" spans="1:17" x14ac:dyDescent="0.35">
      <c r="N12" s="17" t="s">
        <v>40</v>
      </c>
      <c r="O12"/>
      <c r="P12" s="27" t="s">
        <v>38</v>
      </c>
    </row>
    <row r="13" spans="1:17" x14ac:dyDescent="0.35">
      <c r="N13" s="13"/>
      <c r="O13" s="14" t="s">
        <v>41</v>
      </c>
      <c r="P13" s="27" t="s">
        <v>44</v>
      </c>
    </row>
    <row r="14" spans="1:17" x14ac:dyDescent="0.35">
      <c r="N14"/>
      <c r="O14" s="14" t="s">
        <v>42</v>
      </c>
      <c r="P14" s="27" t="s">
        <v>43</v>
      </c>
    </row>
    <row r="15" spans="1:17" x14ac:dyDescent="0.35">
      <c r="N15" s="6"/>
      <c r="O15" s="6" t="s">
        <v>31</v>
      </c>
      <c r="P15" s="28" t="s">
        <v>77</v>
      </c>
      <c r="Q15" s="3" t="s">
        <v>78</v>
      </c>
    </row>
    <row r="16" spans="1:17" x14ac:dyDescent="0.35">
      <c r="P16" s="28"/>
    </row>
    <row r="17" spans="14:19" x14ac:dyDescent="0.35">
      <c r="N17" s="13" t="s">
        <v>45</v>
      </c>
      <c r="O17" s="13"/>
      <c r="P17" s="29" t="s">
        <v>46</v>
      </c>
      <c r="Q17" s="18" t="s">
        <v>47</v>
      </c>
      <c r="R17" s="19" t="s">
        <v>48</v>
      </c>
      <c r="S17" s="19" t="s">
        <v>49</v>
      </c>
    </row>
    <row r="18" spans="14:19" x14ac:dyDescent="0.35">
      <c r="N18" s="13"/>
      <c r="O18" s="13" t="s">
        <v>80</v>
      </c>
      <c r="P18" s="27" t="s">
        <v>53</v>
      </c>
      <c r="Q18" t="s">
        <v>54</v>
      </c>
      <c r="R18" s="19" t="s">
        <v>50</v>
      </c>
      <c r="S18" s="19" t="s">
        <v>51</v>
      </c>
    </row>
    <row r="19" spans="14:19" x14ac:dyDescent="0.35">
      <c r="N19" s="13"/>
      <c r="O19" s="13"/>
      <c r="P19" s="30" t="s">
        <v>55</v>
      </c>
      <c r="Q19" t="s">
        <v>56</v>
      </c>
      <c r="R19" s="19" t="s">
        <v>52</v>
      </c>
      <c r="S19" s="19" t="s">
        <v>51</v>
      </c>
    </row>
    <row r="20" spans="14:19" x14ac:dyDescent="0.35">
      <c r="N20" s="13"/>
      <c r="O20" s="3" t="s">
        <v>79</v>
      </c>
      <c r="P20" s="28" t="s">
        <v>81</v>
      </c>
      <c r="R20"/>
      <c r="S20"/>
    </row>
    <row r="21" spans="14:19" x14ac:dyDescent="0.35">
      <c r="N21" s="13"/>
      <c r="P21" s="28"/>
      <c r="R21"/>
      <c r="S21"/>
    </row>
    <row r="22" spans="14:19" x14ac:dyDescent="0.35">
      <c r="N22" s="13"/>
      <c r="O22" s="13" t="s">
        <v>57</v>
      </c>
      <c r="P22" s="27" t="s">
        <v>58</v>
      </c>
      <c r="Q22"/>
      <c r="R22"/>
      <c r="S22"/>
    </row>
    <row r="23" spans="14:19" x14ac:dyDescent="0.35">
      <c r="N23" s="13"/>
      <c r="O23" s="13"/>
      <c r="P23" s="27" t="s">
        <v>59</v>
      </c>
      <c r="Q23"/>
      <c r="R23"/>
      <c r="S23"/>
    </row>
    <row r="24" spans="14:19" x14ac:dyDescent="0.35">
      <c r="N24" s="13"/>
      <c r="O24" s="13" t="s">
        <v>60</v>
      </c>
      <c r="P24" s="27" t="s">
        <v>61</v>
      </c>
      <c r="Q24"/>
      <c r="R24"/>
      <c r="S24"/>
    </row>
    <row r="25" spans="14:19" x14ac:dyDescent="0.35">
      <c r="P25" s="27" t="s">
        <v>62</v>
      </c>
    </row>
    <row r="26" spans="14:19" x14ac:dyDescent="0.35">
      <c r="P26" s="28"/>
    </row>
    <row r="27" spans="14:19" x14ac:dyDescent="0.35">
      <c r="N27" s="13" t="s">
        <v>63</v>
      </c>
      <c r="O27" s="15"/>
      <c r="P27" s="31"/>
    </row>
    <row r="28" spans="14:19" x14ac:dyDescent="0.35">
      <c r="N28" s="15"/>
      <c r="O28" s="13" t="s">
        <v>64</v>
      </c>
      <c r="P28" s="27" t="s">
        <v>93</v>
      </c>
    </row>
    <row r="29" spans="14:19" x14ac:dyDescent="0.35">
      <c r="N29" s="15"/>
      <c r="O29" s="13" t="s">
        <v>65</v>
      </c>
      <c r="P29" s="27" t="s">
        <v>94</v>
      </c>
    </row>
    <row r="30" spans="14:19" x14ac:dyDescent="0.35">
      <c r="N30" s="15"/>
      <c r="O30" s="13" t="s">
        <v>66</v>
      </c>
      <c r="P30" s="27" t="s">
        <v>67</v>
      </c>
    </row>
    <row r="31" spans="14:19" x14ac:dyDescent="0.35">
      <c r="N31" s="15"/>
      <c r="O31"/>
      <c r="P31" s="31"/>
    </row>
    <row r="32" spans="14:19" x14ac:dyDescent="0.35">
      <c r="N32" s="20" t="s">
        <v>68</v>
      </c>
      <c r="O32"/>
      <c r="P32" s="31"/>
    </row>
    <row r="33" spans="14:16" x14ac:dyDescent="0.35">
      <c r="N33" t="s">
        <v>69</v>
      </c>
      <c r="O33" t="s">
        <v>73</v>
      </c>
      <c r="P33" s="27" t="s">
        <v>71</v>
      </c>
    </row>
    <row r="34" spans="14:16" x14ac:dyDescent="0.35">
      <c r="N34"/>
      <c r="O34" t="s">
        <v>70</v>
      </c>
      <c r="P34" s="27" t="s">
        <v>74</v>
      </c>
    </row>
    <row r="35" spans="14:16" x14ac:dyDescent="0.35">
      <c r="O35" t="s">
        <v>72</v>
      </c>
      <c r="P35" s="27" t="s">
        <v>75</v>
      </c>
    </row>
    <row r="36" spans="14:16" x14ac:dyDescent="0.35">
      <c r="P36" s="28"/>
    </row>
    <row r="37" spans="14:16" x14ac:dyDescent="0.35">
      <c r="O37" t="s">
        <v>73</v>
      </c>
      <c r="P37" s="27" t="s">
        <v>71</v>
      </c>
    </row>
    <row r="38" spans="14:16" x14ac:dyDescent="0.35">
      <c r="O38" t="s">
        <v>70</v>
      </c>
      <c r="P38" s="27" t="s">
        <v>76</v>
      </c>
    </row>
    <row r="39" spans="14:16" x14ac:dyDescent="0.35">
      <c r="O39" t="s">
        <v>72</v>
      </c>
      <c r="P39" s="27" t="s">
        <v>75</v>
      </c>
    </row>
  </sheetData>
  <phoneticPr fontId="5" type="noConversion"/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4"/>
  <sheetViews>
    <sheetView zoomScale="85" zoomScaleNormal="85" workbookViewId="0">
      <selection activeCell="R2" sqref="R2"/>
    </sheetView>
  </sheetViews>
  <sheetFormatPr defaultColWidth="9.109375" defaultRowHeight="15.6" x14ac:dyDescent="0.35"/>
  <cols>
    <col min="1" max="1" width="4.6640625" style="13" bestFit="1" customWidth="1"/>
    <col min="2" max="2" width="3.6640625" style="13" bestFit="1" customWidth="1"/>
    <col min="3" max="3" width="6.33203125" style="13" bestFit="1" customWidth="1"/>
    <col min="4" max="5" width="3.6640625" style="13" bestFit="1" customWidth="1"/>
    <col min="6" max="6" width="5.5546875" style="13" bestFit="1" customWidth="1"/>
    <col min="7" max="8" width="7.33203125" style="13" bestFit="1" customWidth="1"/>
    <col min="9" max="10" width="3.6640625" style="13" bestFit="1" customWidth="1"/>
    <col min="11" max="11" width="3.6640625" style="13" customWidth="1"/>
    <col min="12" max="12" width="9" style="13" hidden="1" customWidth="1"/>
    <col min="13" max="13" width="7.6640625" style="13" hidden="1" customWidth="1"/>
    <col min="14" max="14" width="6.88671875" style="13" hidden="1" customWidth="1"/>
    <col min="15" max="15" width="4.44140625" style="13" customWidth="1"/>
    <col min="16" max="16" width="14.88671875" style="13" bestFit="1" customWidth="1"/>
    <col min="17" max="17" width="10.6640625" style="13" customWidth="1"/>
    <col min="18" max="19" width="10.6640625" style="13" bestFit="1" customWidth="1"/>
    <col min="20" max="20" width="4.5546875" style="13" customWidth="1"/>
    <col min="21" max="21" width="15.88671875" style="13" bestFit="1" customWidth="1"/>
    <col min="22" max="24" width="11.6640625" style="13" bestFit="1" customWidth="1"/>
    <col min="25" max="16384" width="9.109375" style="13"/>
  </cols>
  <sheetData>
    <row r="1" spans="1:24" s="22" customFormat="1" x14ac:dyDescent="0.35">
      <c r="A1" s="21" t="s">
        <v>0</v>
      </c>
      <c r="B1" s="21" t="s">
        <v>12</v>
      </c>
      <c r="C1" s="21" t="s">
        <v>4</v>
      </c>
      <c r="D1" s="21" t="s">
        <v>6</v>
      </c>
      <c r="E1" s="21" t="s">
        <v>7</v>
      </c>
      <c r="F1" s="21"/>
      <c r="G1" s="21" t="s">
        <v>4</v>
      </c>
      <c r="H1" s="21" t="s">
        <v>9</v>
      </c>
      <c r="I1" s="21" t="s">
        <v>6</v>
      </c>
      <c r="J1" s="21" t="s">
        <v>7</v>
      </c>
      <c r="K1" s="21"/>
      <c r="L1" s="22" t="s">
        <v>32</v>
      </c>
      <c r="P1" s="21" t="s">
        <v>8</v>
      </c>
      <c r="Q1" s="21" t="s">
        <v>34</v>
      </c>
      <c r="R1" s="21" t="s">
        <v>23</v>
      </c>
      <c r="S1" s="21" t="s">
        <v>33</v>
      </c>
      <c r="T1" s="21"/>
      <c r="U1" s="21" t="s">
        <v>8</v>
      </c>
      <c r="V1" s="21" t="s">
        <v>34</v>
      </c>
      <c r="W1" s="21" t="s">
        <v>23</v>
      </c>
      <c r="X1" s="21" t="s">
        <v>33</v>
      </c>
    </row>
    <row r="2" spans="1:24" x14ac:dyDescent="0.35">
      <c r="A2" s="13">
        <v>1.0000000000000016</v>
      </c>
      <c r="B2" s="5" t="s">
        <v>91</v>
      </c>
      <c r="C2" s="13" t="str">
        <f>CONCATENATE("e",D2, "s",E2)</f>
        <v>e1s1</v>
      </c>
      <c r="D2" s="13">
        <v>1</v>
      </c>
      <c r="E2" s="13">
        <v>1</v>
      </c>
      <c r="F2" s="13" t="s">
        <v>35</v>
      </c>
      <c r="G2" s="13" t="str">
        <f t="shared" ref="G2:G3" si="0">CONCATENATE("'",C2,"'")</f>
        <v>'e1s1'</v>
      </c>
      <c r="H2" s="13" t="str">
        <f t="shared" ref="H2:H3" si="1">CONCATENATE("'",B2, "_s", E2, "'")</f>
        <v>'P0_s1'</v>
      </c>
      <c r="I2" s="13">
        <f>D2</f>
        <v>1</v>
      </c>
      <c r="J2" s="13">
        <f>E2</f>
        <v>1</v>
      </c>
      <c r="L2" s="13" t="str">
        <f>CONCATENATE("C", TEXT((E2-1),"00"),"d1")</f>
        <v>C00d1</v>
      </c>
      <c r="M2" s="13" t="str">
        <f>CONCATENATE("C", TEXT((E2-1),"00"),"d2")</f>
        <v>C00d2</v>
      </c>
      <c r="N2" s="13" t="str">
        <f>CONCATENATE("C", TEXT((E2-1),"00"),"d3")</f>
        <v>C00d3</v>
      </c>
      <c r="P2" s="13" t="str">
        <f>CONCATENATE("..\EXP\TIF\e",I2)</f>
        <v>..\EXP\TIF\e1</v>
      </c>
      <c r="Q2" s="13" t="str">
        <f>CONCATENATE("",F2,"_4")</f>
        <v>S01_4</v>
      </c>
      <c r="R2" s="13" t="str">
        <f>CONCATENATE("",F2,"_2")</f>
        <v>S01_2</v>
      </c>
      <c r="S2" s="13" t="str">
        <f>CONCATENATE("",F2,"_0")</f>
        <v>S01_0</v>
      </c>
      <c r="U2" s="13" t="str">
        <f>CONCATENATE("'",P2,"'")</f>
        <v>'..\EXP\TIF\e1'</v>
      </c>
      <c r="V2" s="13" t="str">
        <f>CONCATENATE("'",Q2,"'")</f>
        <v>'S01_4'</v>
      </c>
      <c r="W2" s="13" t="str">
        <f>CONCATENATE("'",R2,"'")</f>
        <v>'S01_2'</v>
      </c>
      <c r="X2" s="13" t="str">
        <f>CONCATENATE("'",S2,"'")</f>
        <v>'S01_0'</v>
      </c>
    </row>
    <row r="3" spans="1:24" x14ac:dyDescent="0.35">
      <c r="A3" s="13">
        <v>2.0000000000000013</v>
      </c>
      <c r="B3" s="5" t="s">
        <v>91</v>
      </c>
      <c r="C3" s="13" t="str">
        <f t="shared" ref="C3:C5" si="2">CONCATENATE("e",D3, "s",E3)</f>
        <v>e1s2</v>
      </c>
      <c r="D3" s="13">
        <v>1</v>
      </c>
      <c r="E3" s="13">
        <v>2</v>
      </c>
      <c r="F3" s="13" t="s">
        <v>35</v>
      </c>
      <c r="G3" s="13" t="str">
        <f t="shared" si="0"/>
        <v>'e1s2'</v>
      </c>
      <c r="H3" s="13" t="str">
        <f t="shared" si="1"/>
        <v>'P0_s2'</v>
      </c>
      <c r="I3" s="13">
        <f t="shared" ref="I3:J3" si="3">D3</f>
        <v>1</v>
      </c>
      <c r="J3" s="13">
        <f t="shared" si="3"/>
        <v>2</v>
      </c>
      <c r="L3" s="13" t="str">
        <f t="shared" ref="L3:L21" si="4">CONCATENATE("C", TEXT((E3-1),"00"),"d1")</f>
        <v>C01d1</v>
      </c>
      <c r="M3" s="13" t="str">
        <f t="shared" ref="M3:M21" si="5">CONCATENATE("C", TEXT((E3-1),"00"),"d2")</f>
        <v>C01d2</v>
      </c>
      <c r="N3" s="13" t="str">
        <f t="shared" ref="N3:N21" si="6">CONCATENATE("C", TEXT((E3-1),"00"),"d3")</f>
        <v>C01d3</v>
      </c>
      <c r="P3" s="13" t="str">
        <f t="shared" ref="P3:P5" si="7">CONCATENATE("..\EXP\TIF\e",I3)</f>
        <v>..\EXP\TIF\e1</v>
      </c>
      <c r="Q3" s="13" t="str">
        <f t="shared" ref="Q3:Q5" si="8">CONCATENATE("",F3,"_4")</f>
        <v>S01_4</v>
      </c>
      <c r="R3" s="13" t="str">
        <f t="shared" ref="R3:R5" si="9">CONCATENATE("",F3,"_2")</f>
        <v>S01_2</v>
      </c>
      <c r="S3" s="13" t="str">
        <f t="shared" ref="S3:S5" si="10">CONCATENATE("",F3,"_0")</f>
        <v>S01_0</v>
      </c>
      <c r="U3" s="13" t="str">
        <f t="shared" ref="U3:U5" si="11">CONCATENATE("'",P3,"'")</f>
        <v>'..\EXP\TIF\e1'</v>
      </c>
      <c r="V3" s="13" t="str">
        <f t="shared" ref="V3:V5" si="12">CONCATENATE("'",Q3,"'")</f>
        <v>'S01_4'</v>
      </c>
      <c r="W3" s="13" t="str">
        <f t="shared" ref="W3:W5" si="13">CONCATENATE("'",R3,"'")</f>
        <v>'S01_2'</v>
      </c>
      <c r="X3" s="13" t="str">
        <f t="shared" ref="X3:X5" si="14">CONCATENATE("'",S3,"'")</f>
        <v>'S01_0'</v>
      </c>
    </row>
    <row r="4" spans="1:24" x14ac:dyDescent="0.35">
      <c r="A4" s="13">
        <v>3</v>
      </c>
      <c r="B4" s="5" t="s">
        <v>92</v>
      </c>
      <c r="C4" s="13" t="str">
        <f t="shared" si="2"/>
        <v>e2s1</v>
      </c>
      <c r="D4" s="13">
        <v>2</v>
      </c>
      <c r="E4" s="13">
        <v>1</v>
      </c>
      <c r="F4" s="13" t="s">
        <v>36</v>
      </c>
      <c r="G4" s="13" t="str">
        <f t="shared" ref="G4:G5" si="15">CONCATENATE("'",C4,"'")</f>
        <v>'e2s1'</v>
      </c>
      <c r="H4" s="13" t="str">
        <f t="shared" ref="H4:H5" si="16">CONCATENATE("'",B4, "_s", E4, "'")</f>
        <v>'P1_s1'</v>
      </c>
      <c r="I4" s="13">
        <f t="shared" ref="I4:I5" si="17">D4</f>
        <v>2</v>
      </c>
      <c r="J4" s="13">
        <f t="shared" ref="J4:J5" si="18">E4</f>
        <v>1</v>
      </c>
      <c r="P4" s="13" t="str">
        <f t="shared" si="7"/>
        <v>..\EXP\TIF\e2</v>
      </c>
      <c r="Q4" s="13" t="str">
        <f t="shared" si="8"/>
        <v>S02_4</v>
      </c>
      <c r="R4" s="13" t="str">
        <f t="shared" si="9"/>
        <v>S02_2</v>
      </c>
      <c r="S4" s="13" t="str">
        <f t="shared" si="10"/>
        <v>S02_0</v>
      </c>
      <c r="U4" s="13" t="str">
        <f t="shared" si="11"/>
        <v>'..\EXP\TIF\e2'</v>
      </c>
      <c r="V4" s="13" t="str">
        <f t="shared" si="12"/>
        <v>'S02_4'</v>
      </c>
      <c r="W4" s="13" t="str">
        <f t="shared" si="13"/>
        <v>'S02_2'</v>
      </c>
      <c r="X4" s="13" t="str">
        <f t="shared" si="14"/>
        <v>'S02_0'</v>
      </c>
    </row>
    <row r="5" spans="1:24" x14ac:dyDescent="0.35">
      <c r="A5" s="13">
        <v>4</v>
      </c>
      <c r="B5" s="5" t="s">
        <v>92</v>
      </c>
      <c r="C5" s="13" t="str">
        <f t="shared" si="2"/>
        <v>e2s2</v>
      </c>
      <c r="D5" s="13">
        <v>2</v>
      </c>
      <c r="E5" s="13">
        <v>2</v>
      </c>
      <c r="F5" s="13" t="s">
        <v>37</v>
      </c>
      <c r="G5" s="13" t="str">
        <f t="shared" si="15"/>
        <v>'e2s2'</v>
      </c>
      <c r="H5" s="13" t="str">
        <f t="shared" si="16"/>
        <v>'P1_s2'</v>
      </c>
      <c r="I5" s="13">
        <f t="shared" si="17"/>
        <v>2</v>
      </c>
      <c r="J5" s="13">
        <f t="shared" si="18"/>
        <v>2</v>
      </c>
      <c r="P5" s="13" t="str">
        <f t="shared" si="7"/>
        <v>..\EXP\TIF\e2</v>
      </c>
      <c r="Q5" s="13" t="str">
        <f t="shared" si="8"/>
        <v>S03_4</v>
      </c>
      <c r="R5" s="13" t="str">
        <f t="shared" si="9"/>
        <v>S03_2</v>
      </c>
      <c r="S5" s="13" t="str">
        <f t="shared" si="10"/>
        <v>S03_0</v>
      </c>
      <c r="U5" s="13" t="str">
        <f t="shared" si="11"/>
        <v>'..\EXP\TIF\e2'</v>
      </c>
      <c r="V5" s="13" t="str">
        <f t="shared" si="12"/>
        <v>'S03_4'</v>
      </c>
      <c r="W5" s="13" t="str">
        <f t="shared" si="13"/>
        <v>'S03_2'</v>
      </c>
      <c r="X5" s="13" t="str">
        <f t="shared" si="14"/>
        <v>'S03_0'</v>
      </c>
    </row>
    <row r="6" spans="1:24" x14ac:dyDescent="0.35">
      <c r="B6" s="23"/>
    </row>
    <row r="7" spans="1:24" x14ac:dyDescent="0.35">
      <c r="B7" s="23"/>
    </row>
    <row r="8" spans="1:24" x14ac:dyDescent="0.35">
      <c r="B8" s="23"/>
    </row>
    <row r="9" spans="1:24" x14ac:dyDescent="0.35">
      <c r="B9" s="23"/>
    </row>
    <row r="10" spans="1:24" x14ac:dyDescent="0.35">
      <c r="B10" s="23"/>
    </row>
    <row r="11" spans="1:24" x14ac:dyDescent="0.35">
      <c r="B11" s="23"/>
    </row>
    <row r="12" spans="1:24" x14ac:dyDescent="0.35">
      <c r="B12" s="23"/>
    </row>
    <row r="13" spans="1:24" x14ac:dyDescent="0.35">
      <c r="B13" s="23"/>
    </row>
    <row r="14" spans="1:24" x14ac:dyDescent="0.35">
      <c r="B14" s="23"/>
    </row>
    <row r="15" spans="1:24" x14ac:dyDescent="0.35">
      <c r="B15" s="23"/>
    </row>
    <row r="16" spans="1:24" x14ac:dyDescent="0.35">
      <c r="B16" s="23"/>
    </row>
    <row r="17" spans="2:2" x14ac:dyDescent="0.35">
      <c r="B17" s="23"/>
    </row>
    <row r="18" spans="2:2" x14ac:dyDescent="0.35">
      <c r="B18" s="23"/>
    </row>
    <row r="19" spans="2:2" x14ac:dyDescent="0.35">
      <c r="B19" s="23"/>
    </row>
    <row r="20" spans="2:2" x14ac:dyDescent="0.35">
      <c r="B20" s="23"/>
    </row>
    <row r="21" spans="2:2" x14ac:dyDescent="0.35">
      <c r="B21" s="23"/>
    </row>
    <row r="22" spans="2:2" x14ac:dyDescent="0.35">
      <c r="B22" s="23"/>
    </row>
    <row r="23" spans="2:2" x14ac:dyDescent="0.35">
      <c r="B23" s="23"/>
    </row>
    <row r="24" spans="2:2" x14ac:dyDescent="0.35">
      <c r="B24" s="23"/>
    </row>
    <row r="25" spans="2:2" x14ac:dyDescent="0.35">
      <c r="B25" s="23"/>
    </row>
    <row r="26" spans="2:2" x14ac:dyDescent="0.35">
      <c r="B26" s="23"/>
    </row>
    <row r="27" spans="2:2" x14ac:dyDescent="0.35">
      <c r="B27" s="23"/>
    </row>
    <row r="28" spans="2:2" x14ac:dyDescent="0.35">
      <c r="B28" s="23"/>
    </row>
    <row r="29" spans="2:2" x14ac:dyDescent="0.35">
      <c r="B29" s="23"/>
    </row>
    <row r="30" spans="2:2" x14ac:dyDescent="0.35">
      <c r="B30" s="23"/>
    </row>
    <row r="31" spans="2:2" x14ac:dyDescent="0.35">
      <c r="B31" s="23"/>
    </row>
    <row r="32" spans="2:2" x14ac:dyDescent="0.35">
      <c r="B32" s="23"/>
    </row>
    <row r="33" spans="2:2" x14ac:dyDescent="0.35">
      <c r="B33" s="23"/>
    </row>
    <row r="34" spans="2:2" x14ac:dyDescent="0.35">
      <c r="B34" s="23"/>
    </row>
    <row r="35" spans="2:2" x14ac:dyDescent="0.35">
      <c r="B35" s="23"/>
    </row>
    <row r="36" spans="2:2" x14ac:dyDescent="0.35">
      <c r="B36" s="23"/>
    </row>
    <row r="37" spans="2:2" x14ac:dyDescent="0.35">
      <c r="B37" s="23"/>
    </row>
    <row r="38" spans="2:2" x14ac:dyDescent="0.35">
      <c r="B38" s="23"/>
    </row>
    <row r="39" spans="2:2" x14ac:dyDescent="0.35">
      <c r="B39" s="23"/>
    </row>
    <row r="40" spans="2:2" x14ac:dyDescent="0.35">
      <c r="B40" s="23"/>
    </row>
    <row r="41" spans="2:2" x14ac:dyDescent="0.35">
      <c r="B41" s="23"/>
    </row>
    <row r="42" spans="2:2" x14ac:dyDescent="0.35">
      <c r="B42" s="23"/>
    </row>
    <row r="43" spans="2:2" x14ac:dyDescent="0.35">
      <c r="B43" s="23"/>
    </row>
    <row r="44" spans="2:2" x14ac:dyDescent="0.35">
      <c r="B44" s="23"/>
    </row>
    <row r="45" spans="2:2" x14ac:dyDescent="0.35">
      <c r="B45" s="23"/>
    </row>
    <row r="46" spans="2:2" x14ac:dyDescent="0.35">
      <c r="B46" s="23"/>
    </row>
    <row r="47" spans="2:2" x14ac:dyDescent="0.35">
      <c r="B47" s="23"/>
    </row>
    <row r="48" spans="2:2" x14ac:dyDescent="0.35">
      <c r="B48" s="23"/>
    </row>
    <row r="49" spans="2:2" x14ac:dyDescent="0.35">
      <c r="B49" s="23"/>
    </row>
    <row r="50" spans="2:2" x14ac:dyDescent="0.35">
      <c r="B50" s="23"/>
    </row>
    <row r="51" spans="2:2" x14ac:dyDescent="0.35">
      <c r="B51" s="23"/>
    </row>
    <row r="52" spans="2:2" x14ac:dyDescent="0.35">
      <c r="B52" s="23"/>
    </row>
    <row r="53" spans="2:2" x14ac:dyDescent="0.35">
      <c r="B53" s="23"/>
    </row>
    <row r="54" spans="2:2" x14ac:dyDescent="0.35">
      <c r="B54" s="23"/>
    </row>
    <row r="55" spans="2:2" x14ac:dyDescent="0.35">
      <c r="B55" s="23"/>
    </row>
    <row r="56" spans="2:2" x14ac:dyDescent="0.35">
      <c r="B56" s="23"/>
    </row>
    <row r="57" spans="2:2" x14ac:dyDescent="0.35">
      <c r="B57" s="23"/>
    </row>
    <row r="58" spans="2:2" x14ac:dyDescent="0.35">
      <c r="B58" s="23"/>
    </row>
    <row r="59" spans="2:2" x14ac:dyDescent="0.35">
      <c r="B59" s="23"/>
    </row>
    <row r="60" spans="2:2" x14ac:dyDescent="0.35">
      <c r="B60" s="23"/>
    </row>
    <row r="61" spans="2:2" x14ac:dyDescent="0.35">
      <c r="B61" s="23"/>
    </row>
    <row r="62" spans="2:2" x14ac:dyDescent="0.35">
      <c r="B62" s="23"/>
    </row>
    <row r="63" spans="2:2" x14ac:dyDescent="0.35">
      <c r="B63" s="23"/>
    </row>
    <row r="64" spans="2:2" x14ac:dyDescent="0.35">
      <c r="B64" s="23"/>
    </row>
    <row r="65" spans="2:2" x14ac:dyDescent="0.35">
      <c r="B65" s="23"/>
    </row>
    <row r="66" spans="2:2" x14ac:dyDescent="0.35">
      <c r="B66" s="23"/>
    </row>
    <row r="67" spans="2:2" x14ac:dyDescent="0.35">
      <c r="B67" s="23"/>
    </row>
    <row r="68" spans="2:2" x14ac:dyDescent="0.35">
      <c r="B68" s="23"/>
    </row>
    <row r="69" spans="2:2" x14ac:dyDescent="0.35">
      <c r="B69" s="23"/>
    </row>
    <row r="70" spans="2:2" x14ac:dyDescent="0.35">
      <c r="B70" s="23"/>
    </row>
    <row r="71" spans="2:2" x14ac:dyDescent="0.35">
      <c r="B71" s="23"/>
    </row>
    <row r="72" spans="2:2" x14ac:dyDescent="0.35">
      <c r="B72" s="23"/>
    </row>
    <row r="73" spans="2:2" x14ac:dyDescent="0.35">
      <c r="B73" s="23"/>
    </row>
    <row r="74" spans="2:2" x14ac:dyDescent="0.35">
      <c r="B74" s="23"/>
    </row>
    <row r="75" spans="2:2" x14ac:dyDescent="0.35">
      <c r="B75" s="23"/>
    </row>
    <row r="76" spans="2:2" x14ac:dyDescent="0.35">
      <c r="B76" s="24"/>
    </row>
    <row r="77" spans="2:2" x14ac:dyDescent="0.35">
      <c r="B77" s="24"/>
    </row>
    <row r="78" spans="2:2" x14ac:dyDescent="0.35">
      <c r="B78" s="24"/>
    </row>
    <row r="79" spans="2:2" x14ac:dyDescent="0.35">
      <c r="B79" s="24"/>
    </row>
    <row r="80" spans="2:2" x14ac:dyDescent="0.35">
      <c r="B80" s="24"/>
    </row>
    <row r="81" spans="2:2" x14ac:dyDescent="0.35">
      <c r="B81" s="24"/>
    </row>
    <row r="82" spans="2:2" x14ac:dyDescent="0.35">
      <c r="B82" s="24"/>
    </row>
    <row r="83" spans="2:2" x14ac:dyDescent="0.35">
      <c r="B83" s="24"/>
    </row>
    <row r="84" spans="2:2" x14ac:dyDescent="0.35">
      <c r="B84" s="24"/>
    </row>
    <row r="85" spans="2:2" x14ac:dyDescent="0.35">
      <c r="B85" s="24"/>
    </row>
    <row r="86" spans="2:2" x14ac:dyDescent="0.35">
      <c r="B86" s="24"/>
    </row>
    <row r="87" spans="2:2" x14ac:dyDescent="0.35">
      <c r="B87" s="24"/>
    </row>
    <row r="88" spans="2:2" x14ac:dyDescent="0.35">
      <c r="B88" s="24"/>
    </row>
    <row r="89" spans="2:2" x14ac:dyDescent="0.35">
      <c r="B89" s="24"/>
    </row>
    <row r="90" spans="2:2" x14ac:dyDescent="0.35">
      <c r="B90" s="24"/>
    </row>
    <row r="91" spans="2:2" x14ac:dyDescent="0.35">
      <c r="B91" s="24"/>
    </row>
    <row r="92" spans="2:2" x14ac:dyDescent="0.35">
      <c r="B92" s="24"/>
    </row>
    <row r="93" spans="2:2" x14ac:dyDescent="0.35">
      <c r="B93" s="24"/>
    </row>
    <row r="94" spans="2:2" x14ac:dyDescent="0.35">
      <c r="B94" s="24"/>
    </row>
    <row r="95" spans="2:2" x14ac:dyDescent="0.35">
      <c r="B95" s="24"/>
    </row>
    <row r="96" spans="2:2" x14ac:dyDescent="0.35">
      <c r="B96" s="24"/>
    </row>
    <row r="97" spans="2:2" x14ac:dyDescent="0.35">
      <c r="B97" s="24"/>
    </row>
    <row r="98" spans="2:2" x14ac:dyDescent="0.35">
      <c r="B98" s="24"/>
    </row>
    <row r="99" spans="2:2" x14ac:dyDescent="0.35">
      <c r="B99" s="24"/>
    </row>
    <row r="100" spans="2:2" x14ac:dyDescent="0.35">
      <c r="B100" s="24"/>
    </row>
    <row r="101" spans="2:2" x14ac:dyDescent="0.35">
      <c r="B101" s="24"/>
    </row>
    <row r="102" spans="2:2" x14ac:dyDescent="0.35">
      <c r="B102" s="24"/>
    </row>
    <row r="103" spans="2:2" x14ac:dyDescent="0.35">
      <c r="B103" s="24"/>
    </row>
    <row r="104" spans="2:2" x14ac:dyDescent="0.35">
      <c r="B104" s="24"/>
    </row>
  </sheetData>
  <phoneticPr fontId="5" type="noConversion"/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</vt:lpstr>
      <vt:lpstr>FLE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</dc:creator>
  <cp:lastModifiedBy>허성식</cp:lastModifiedBy>
  <dcterms:created xsi:type="dcterms:W3CDTF">2015-02-27T00:47:19Z</dcterms:created>
  <dcterms:modified xsi:type="dcterms:W3CDTF">2025-11-27T05:33:46Z</dcterms:modified>
</cp:coreProperties>
</file>